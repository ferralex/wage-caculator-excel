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artor\Desktop\"/>
    </mc:Choice>
  </mc:AlternateContent>
  <xr:revisionPtr revIDLastSave="0" documentId="13_ncr:1_{BABDD5A6-B390-41B0-9D54-D63C730598C0}" xr6:coauthVersionLast="47" xr6:coauthVersionMax="47" xr10:uidLastSave="{00000000-0000-0000-0000-000000000000}"/>
  <bookViews>
    <workbookView xWindow="-120" yWindow="-120" windowWidth="20730" windowHeight="11160" xr2:uid="{4BDD9C0F-7D71-4E38-B233-44667514C7FC}"/>
  </bookViews>
  <sheets>
    <sheet name="Sheet1" sheetId="1" r:id="rId1"/>
    <sheet name="Sheet2" sheetId="2" r:id="rId2"/>
    <sheet name="NewDay" sheetId="3" r:id="rId3"/>
  </sheets>
  <definedNames>
    <definedName name="DayPay">Sheet1!$L$8:$L$40</definedName>
    <definedName name="Days">Sheet1!$A$8:$A$40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14" i="1" l="1"/>
  <c r="B15" i="1"/>
  <c r="K15" i="1"/>
  <c r="J15" i="1"/>
  <c r="I15" i="1"/>
  <c r="H15" i="1"/>
  <c r="G15" i="1"/>
  <c r="F15" i="1"/>
  <c r="E15" i="1"/>
  <c r="D15" i="1"/>
  <c r="C15" i="1"/>
  <c r="K13" i="1"/>
  <c r="J13" i="1"/>
  <c r="I13" i="1"/>
  <c r="H13" i="1"/>
  <c r="G13" i="1"/>
  <c r="F13" i="1"/>
  <c r="E13" i="1"/>
  <c r="D13" i="1"/>
  <c r="C13" i="1"/>
  <c r="B13" i="1"/>
  <c r="K11" i="1"/>
  <c r="J11" i="1"/>
  <c r="I11" i="1"/>
  <c r="H11" i="1"/>
  <c r="G11" i="1"/>
  <c r="F11" i="1"/>
  <c r="E11" i="1"/>
  <c r="D11" i="1"/>
  <c r="C11" i="1"/>
  <c r="B11" i="1"/>
  <c r="K9" i="1"/>
  <c r="J9" i="1"/>
  <c r="I9" i="1"/>
  <c r="H9" i="1"/>
  <c r="G9" i="1"/>
  <c r="F9" i="1"/>
  <c r="E9" i="1"/>
  <c r="D9" i="1"/>
  <c r="C9" i="1"/>
  <c r="B9" i="1"/>
  <c r="I2" i="1"/>
  <c r="C2" i="3"/>
  <c r="K2" i="3"/>
  <c r="J2" i="3"/>
  <c r="I2" i="3"/>
  <c r="H2" i="3"/>
  <c r="G2" i="3"/>
  <c r="F2" i="3"/>
  <c r="E2" i="3"/>
  <c r="D2" i="3"/>
  <c r="B2" i="3"/>
  <c r="L12" i="1" l="1"/>
  <c r="L1" i="3"/>
  <c r="L10" i="1"/>
  <c r="L8" i="1"/>
  <c r="L1" i="1" l="1"/>
  <c r="L2" i="1" s="1"/>
</calcChain>
</file>

<file path=xl/sharedStrings.xml><?xml version="1.0" encoding="utf-8"?>
<sst xmlns="http://schemas.openxmlformats.org/spreadsheetml/2006/main" count="26" uniqueCount="21">
  <si>
    <t>Hourly Pay</t>
  </si>
  <si>
    <t>DATE</t>
  </si>
  <si>
    <t>Lesson @ 11</t>
  </si>
  <si>
    <t>Lesson @ 12</t>
  </si>
  <si>
    <t>Lesson @ 13</t>
  </si>
  <si>
    <t>Lesson @ 14</t>
  </si>
  <si>
    <t>Lesson @ 15</t>
  </si>
  <si>
    <t>Lesson @ 16</t>
  </si>
  <si>
    <t>Lesson @ 17</t>
  </si>
  <si>
    <t>Lesson @ 18</t>
  </si>
  <si>
    <t>Lesson @ 19</t>
  </si>
  <si>
    <t>Lesson @ 20</t>
  </si>
  <si>
    <t>Students</t>
  </si>
  <si>
    <t>Bonus</t>
  </si>
  <si>
    <t>Pay</t>
  </si>
  <si>
    <t>Gross Total</t>
  </si>
  <si>
    <t>Net Total</t>
  </si>
  <si>
    <t>Tax</t>
  </si>
  <si>
    <t>August 2022</t>
  </si>
  <si>
    <t>Daily train fee</t>
  </si>
  <si>
    <t>Total train fee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</si>
</sst>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&quot;年&quot;m&quot;月&quot;d&quot;日&quot;;@"/>
    <numFmt numFmtId="165" formatCode="[$¥-411]#,##0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lightDown">
        <bgColor theme="1" tint="0.34998626667073579"/>
      </patternFill>
    </fill>
  </fills>
  <borders count="4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/>
      <bottom style="double">
        <color rgb="FFC00000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 applyBorder="1"/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/>
    <xf numFmtId="164" fontId="4" fillId="5" borderId="0" xfId="0" applyNumberFormat="1" applyFont="1" applyFill="1" applyBorder="1"/>
    <xf numFmtId="0" fontId="2" fillId="4" borderId="2" xfId="0" applyFont="1" applyFill="1" applyBorder="1"/>
    <xf numFmtId="0" fontId="1" fillId="4" borderId="2" xfId="0" applyFont="1" applyFill="1" applyBorder="1" applyAlignment="1">
      <alignment horizontal="center"/>
    </xf>
    <xf numFmtId="0" fontId="0" fillId="0" borderId="0" xfId="0" applyNumberFormat="1"/>
    <xf numFmtId="0" fontId="2" fillId="6" borderId="0" xfId="0" applyFont="1" applyFill="1"/>
    <xf numFmtId="9" fontId="2" fillId="6" borderId="0" xfId="0" applyNumberFormat="1" applyFont="1" applyFill="1"/>
    <xf numFmtId="0" fontId="1" fillId="6" borderId="0" xfId="0" applyFont="1" applyFill="1"/>
    <xf numFmtId="10" fontId="1" fillId="6" borderId="0" xfId="0" applyNumberFormat="1" applyFont="1" applyFill="1"/>
    <xf numFmtId="0" fontId="5" fillId="7" borderId="0" xfId="0" applyFont="1" applyFill="1"/>
    <xf numFmtId="0" fontId="0" fillId="0" borderId="3" xfId="0" applyBorder="1"/>
    <xf numFmtId="165" fontId="2" fillId="6" borderId="0" xfId="0" applyNumberFormat="1" applyFont="1" applyFill="1"/>
    <xf numFmtId="165" fontId="5" fillId="7" borderId="0" xfId="0" applyNumberFormat="1" applyFont="1" applyFill="1"/>
    <xf numFmtId="0" fontId="2" fillId="4" borderId="0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</cellXfs>
  <cellStyles count="1">
    <cellStyle name="Normal" xfId="0" builtinId="0"/>
  </cellStyles>
  <dxfs count="20">
    <dxf>
      <fill>
        <patternFill>
          <bgColor theme="2" tint="-9.9948118533890809E-2"/>
        </patternFill>
      </fill>
    </dxf>
    <dxf>
      <font>
        <b/>
        <i val="0"/>
      </font>
      <numFmt numFmtId="165" formatCode="[$¥-411]#,##0"/>
      <fill>
        <patternFill>
          <bgColor theme="9"/>
        </patternFill>
      </fill>
    </dxf>
    <dxf>
      <font>
        <b/>
        <i val="0"/>
      </font>
      <numFmt numFmtId="165" formatCode="[$¥-411]#,##0"/>
      <fill>
        <patternFill patternType="solid">
          <bgColor theme="9" tint="0.39994506668294322"/>
        </patternFill>
      </fill>
    </dxf>
    <dxf>
      <font>
        <b/>
        <i val="0"/>
      </font>
      <numFmt numFmtId="166" formatCode="#\人"/>
      <fill>
        <patternFill>
          <bgColor theme="9" tint="0.59996337778862885"/>
        </patternFill>
      </fill>
    </dxf>
    <dxf>
      <fill>
        <patternFill>
          <bgColor theme="2" tint="-9.9948118533890809E-2"/>
        </patternFill>
      </fill>
    </dxf>
    <dxf>
      <font>
        <b/>
        <i val="0"/>
      </font>
      <numFmt numFmtId="165" formatCode="[$¥-411]#,##0"/>
      <fill>
        <patternFill>
          <bgColor theme="9"/>
        </patternFill>
      </fill>
    </dxf>
    <dxf>
      <font>
        <b/>
        <i val="0"/>
      </font>
      <numFmt numFmtId="165" formatCode="[$¥-411]#,##0"/>
      <fill>
        <patternFill patternType="solid">
          <bgColor theme="9" tint="0.39994506668294322"/>
        </patternFill>
      </fill>
    </dxf>
    <dxf>
      <font>
        <b/>
        <i val="0"/>
      </font>
      <numFmt numFmtId="166" formatCode="#\人"/>
      <fill>
        <patternFill>
          <bgColor theme="9" tint="0.59996337778862885"/>
        </patternFill>
      </fill>
    </dxf>
    <dxf>
      <fill>
        <patternFill>
          <bgColor theme="2" tint="-9.9948118533890809E-2"/>
        </patternFill>
      </fill>
    </dxf>
    <dxf>
      <font>
        <b/>
        <i val="0"/>
      </font>
      <numFmt numFmtId="165" formatCode="[$¥-411]#,##0"/>
      <fill>
        <patternFill>
          <bgColor theme="9"/>
        </patternFill>
      </fill>
    </dxf>
    <dxf>
      <font>
        <b/>
        <i val="0"/>
      </font>
      <numFmt numFmtId="165" formatCode="[$¥-411]#,##0"/>
      <fill>
        <patternFill patternType="solid">
          <bgColor theme="9" tint="0.39994506668294322"/>
        </patternFill>
      </fill>
    </dxf>
    <dxf>
      <font>
        <b/>
        <i val="0"/>
      </font>
      <numFmt numFmtId="166" formatCode="#\人"/>
      <fill>
        <patternFill>
          <bgColor theme="9" tint="0.59996337778862885"/>
        </patternFill>
      </fill>
    </dxf>
    <dxf>
      <fill>
        <patternFill>
          <bgColor theme="2" tint="-9.9948118533890809E-2"/>
        </patternFill>
      </fill>
    </dxf>
    <dxf>
      <font>
        <b/>
        <i val="0"/>
      </font>
      <numFmt numFmtId="165" formatCode="[$¥-411]#,##0"/>
      <fill>
        <patternFill>
          <bgColor theme="9"/>
        </patternFill>
      </fill>
    </dxf>
    <dxf>
      <font>
        <b/>
        <i val="0"/>
      </font>
      <numFmt numFmtId="165" formatCode="[$¥-411]#,##0"/>
      <fill>
        <patternFill patternType="solid">
          <bgColor theme="9" tint="0.39994506668294322"/>
        </patternFill>
      </fill>
    </dxf>
    <dxf>
      <font>
        <b/>
        <i val="0"/>
      </font>
      <numFmt numFmtId="166" formatCode="#\人"/>
      <fill>
        <patternFill>
          <bgColor theme="9" tint="0.59996337778862885"/>
        </patternFill>
      </fill>
    </dxf>
    <dxf>
      <fill>
        <patternFill>
          <bgColor theme="2" tint="-9.9948118533890809E-2"/>
        </patternFill>
      </fill>
    </dxf>
    <dxf>
      <font>
        <b/>
        <i val="0"/>
      </font>
      <numFmt numFmtId="165" formatCode="[$¥-411]#,##0"/>
      <fill>
        <patternFill>
          <bgColor theme="9"/>
        </patternFill>
      </fill>
    </dxf>
    <dxf>
      <font>
        <b/>
        <i val="0"/>
      </font>
      <numFmt numFmtId="165" formatCode="[$¥-411]#,##0"/>
      <fill>
        <patternFill patternType="solid">
          <bgColor theme="9" tint="0.39994506668294322"/>
        </patternFill>
      </fill>
    </dxf>
    <dxf>
      <font>
        <b/>
        <i val="0"/>
      </font>
      <numFmt numFmtId="166" formatCode="#\人"/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2</xdr:row>
      <xdr:rowOff>76200</xdr:rowOff>
    </xdr:from>
    <xdr:to>
      <xdr:col>2</xdr:col>
      <xdr:colOff>76200</xdr:colOff>
      <xdr:row>5</xdr:row>
      <xdr:rowOff>76200</xdr:rowOff>
    </xdr:to>
    <xdr:sp macro="[0]!AddDa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088E860-D8CD-EAC2-D9EC-C73D56630FE1}"/>
            </a:ext>
          </a:extLst>
        </xdr:cNvPr>
        <xdr:cNvSpPr/>
      </xdr:nvSpPr>
      <xdr:spPr>
        <a:xfrm>
          <a:off x="142875" y="457200"/>
          <a:ext cx="1809750" cy="5715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Add a day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240C4-019D-470C-901E-7B4E8B32ED01}">
  <sheetPr codeName="Sheet1"/>
  <dimension ref="A1:N41"/>
  <sheetViews>
    <sheetView showGridLines="0" tabSelected="1" workbookViewId="0">
      <selection activeCell="L14" sqref="L14:L15"/>
    </sheetView>
  </sheetViews>
  <sheetFormatPr defaultRowHeight="15" x14ac:dyDescent="0.25"/>
  <cols>
    <col min="1" max="1" width="16.42578125" bestFit="1" customWidth="1"/>
    <col min="2" max="7" width="11.7109375" bestFit="1" customWidth="1"/>
    <col min="8" max="8" width="14.140625" bestFit="1" customWidth="1"/>
    <col min="9" max="11" width="11.7109375" bestFit="1" customWidth="1"/>
    <col min="12" max="12" width="10.5703125" bestFit="1" customWidth="1"/>
  </cols>
  <sheetData>
    <row r="1" spans="1:14" x14ac:dyDescent="0.25">
      <c r="A1" s="10" t="s">
        <v>0</v>
      </c>
      <c r="B1" s="14">
        <v>1000</v>
      </c>
      <c r="C1" s="8"/>
      <c r="D1" s="18" t="s">
        <v>18</v>
      </c>
      <c r="E1" s="18"/>
      <c r="F1" s="18"/>
      <c r="G1" s="8"/>
      <c r="H1" s="11" t="s">
        <v>17</v>
      </c>
      <c r="I1" s="9">
        <v>0.1</v>
      </c>
      <c r="J1" s="8"/>
      <c r="K1" s="8" t="s">
        <v>15</v>
      </c>
      <c r="L1" s="14">
        <f>SUM(DayPay)</f>
        <v>16900</v>
      </c>
    </row>
    <row r="2" spans="1:14" x14ac:dyDescent="0.25">
      <c r="A2" s="10" t="s">
        <v>19</v>
      </c>
      <c r="B2" s="14">
        <v>100</v>
      </c>
      <c r="C2" s="8"/>
      <c r="D2" s="18"/>
      <c r="E2" s="18"/>
      <c r="F2" s="18"/>
      <c r="G2" s="8"/>
      <c r="H2" s="10" t="s">
        <v>20</v>
      </c>
      <c r="I2" s="14">
        <f>(COUNTIF(Days,"&gt;0")*2)*$B$2</f>
        <v>600</v>
      </c>
      <c r="J2" s="8"/>
      <c r="K2" s="12" t="s">
        <v>16</v>
      </c>
      <c r="L2" s="15">
        <f>$L$1-($L$1*$I$1)</f>
        <v>15210</v>
      </c>
      <c r="N2" s="7"/>
    </row>
    <row r="7" spans="1:14" ht="15.75" thickBot="1" x14ac:dyDescent="0.3">
      <c r="A7" s="5" t="s">
        <v>1</v>
      </c>
      <c r="B7" s="5" t="s">
        <v>2</v>
      </c>
      <c r="C7" s="5" t="s">
        <v>3</v>
      </c>
      <c r="D7" s="5" t="s">
        <v>4</v>
      </c>
      <c r="E7" s="5" t="s">
        <v>5</v>
      </c>
      <c r="F7" s="5" t="s">
        <v>6</v>
      </c>
      <c r="G7" s="5" t="s">
        <v>7</v>
      </c>
      <c r="H7" s="5" t="s">
        <v>8</v>
      </c>
      <c r="I7" s="5" t="s">
        <v>9</v>
      </c>
      <c r="J7" s="5" t="s">
        <v>10</v>
      </c>
      <c r="K7" s="5" t="s">
        <v>11</v>
      </c>
      <c r="L7" s="6" t="s">
        <v>14</v>
      </c>
    </row>
    <row r="8" spans="1:14" x14ac:dyDescent="0.25">
      <c r="A8" s="4">
        <v>44775</v>
      </c>
      <c r="B8" s="1"/>
      <c r="C8" s="1"/>
      <c r="D8" s="1"/>
      <c r="E8" s="1"/>
      <c r="F8" s="1"/>
      <c r="G8" s="1"/>
      <c r="H8" s="1"/>
      <c r="I8" s="1">
        <v>1</v>
      </c>
      <c r="J8" s="1">
        <v>4</v>
      </c>
      <c r="K8" s="1">
        <v>2</v>
      </c>
      <c r="L8" s="16">
        <f>SUM(COUNT(B8:K8)*$B$1,SUM(B9:K9))</f>
        <v>3200</v>
      </c>
    </row>
    <row r="9" spans="1:14" x14ac:dyDescent="0.25">
      <c r="A9" s="2" t="s">
        <v>13</v>
      </c>
      <c r="B9" s="3" t="str">
        <f>IF(B8&lt;=2,"",INDEX(Sheet2!$B$2:$B$7,Sheet1!B8))</f>
        <v/>
      </c>
      <c r="C9" s="3" t="str">
        <f>IF(C8&lt;=2,"",INDEX(Sheet2!$B$2:$B$7,Sheet1!C8))</f>
        <v/>
      </c>
      <c r="D9" s="3" t="str">
        <f>IF(D8&lt;=2,"",INDEX(Sheet2!$B$2:$B$7,Sheet1!D8))</f>
        <v/>
      </c>
      <c r="E9" s="3" t="str">
        <f>IF(E8&lt;=2,"",INDEX(Sheet2!$B$2:$B$7,Sheet1!E8))</f>
        <v/>
      </c>
      <c r="F9" s="3" t="str">
        <f>IF(F8&lt;=2,"",INDEX(Sheet2!$B$2:$B$7,Sheet1!F8))</f>
        <v/>
      </c>
      <c r="G9" s="3" t="str">
        <f>IF(G8&lt;=2,"",INDEX(Sheet2!$B$2:$B$7,Sheet1!G8))</f>
        <v/>
      </c>
      <c r="H9" s="3" t="str">
        <f>IF(H8&lt;=2,"",INDEX(Sheet2!$B$2:$B$7,Sheet1!H8))</f>
        <v/>
      </c>
      <c r="I9" s="3" t="str">
        <f>IF(I8&lt;=2,"",INDEX(Sheet2!$B$2:$B$7,Sheet1!I8))</f>
        <v/>
      </c>
      <c r="J9" s="3">
        <f>IF(J8&lt;=2,"",INDEX(Sheet2!$B$2:$B$7,Sheet1!J8))</f>
        <v>200</v>
      </c>
      <c r="K9" s="3" t="str">
        <f>IF(K8&lt;=2,"",INDEX(Sheet2!$B$2:$B$7,Sheet1!K8))</f>
        <v/>
      </c>
      <c r="L9" s="17"/>
    </row>
    <row r="10" spans="1:14" x14ac:dyDescent="0.25">
      <c r="A10" s="4">
        <v>44777</v>
      </c>
      <c r="B10" s="1">
        <v>3</v>
      </c>
      <c r="C10" s="1">
        <v>3</v>
      </c>
      <c r="D10" s="1">
        <v>2</v>
      </c>
      <c r="E10" s="1">
        <v>2</v>
      </c>
      <c r="F10" s="1"/>
      <c r="G10" s="1">
        <v>4</v>
      </c>
      <c r="H10" s="1">
        <v>1</v>
      </c>
      <c r="I10" s="1">
        <v>1</v>
      </c>
      <c r="J10" s="1">
        <v>2</v>
      </c>
      <c r="K10" s="1">
        <v>2</v>
      </c>
      <c r="L10" s="16">
        <f>SUM(COUNT(B10:K10)*$B$1,SUM(B11:K11))</f>
        <v>9400</v>
      </c>
    </row>
    <row r="11" spans="1:14" x14ac:dyDescent="0.25">
      <c r="A11" s="2" t="s">
        <v>13</v>
      </c>
      <c r="B11" s="3">
        <f>IF(B10&lt;=2,"",INDEX(Sheet2!$B$2:$B$7,Sheet1!B10))</f>
        <v>100</v>
      </c>
      <c r="C11" s="3">
        <f>IF(C10&lt;=2,"",INDEX(Sheet2!$B$2:$B$7,Sheet1!C10))</f>
        <v>100</v>
      </c>
      <c r="D11" s="3" t="str">
        <f>IF(D10&lt;=2,"",INDEX(Sheet2!$B$2:$B$7,Sheet1!D10))</f>
        <v/>
      </c>
      <c r="E11" s="3" t="str">
        <f>IF(E10&lt;=2,"",INDEX(Sheet2!$B$2:$B$7,Sheet1!E10))</f>
        <v/>
      </c>
      <c r="F11" s="3" t="str">
        <f>IF(F10&lt;=2,"",INDEX(Sheet2!$B$2:$B$7,Sheet1!F10))</f>
        <v/>
      </c>
      <c r="G11" s="3">
        <f>IF(G10&lt;=2,"",INDEX(Sheet2!$B$2:$B$7,Sheet1!G10))</f>
        <v>200</v>
      </c>
      <c r="H11" s="3" t="str">
        <f>IF(H10&lt;=2,"",INDEX(Sheet2!$B$2:$B$7,Sheet1!H10))</f>
        <v/>
      </c>
      <c r="I11" s="3" t="str">
        <f>IF(I10&lt;=2,"",INDEX(Sheet2!$B$2:$B$7,Sheet1!I10))</f>
        <v/>
      </c>
      <c r="J11" s="3" t="str">
        <f>IF(J10&lt;=2,"",INDEX(Sheet2!$B$2:$B$7,Sheet1!J10))</f>
        <v/>
      </c>
      <c r="K11" s="3" t="str">
        <f>IF(K10&lt;=2,"",INDEX(Sheet2!$B$2:$B$7,Sheet1!K10))</f>
        <v/>
      </c>
      <c r="L11" s="17"/>
    </row>
    <row r="12" spans="1:14" x14ac:dyDescent="0.25">
      <c r="A12" s="4">
        <v>44782</v>
      </c>
      <c r="B12" s="1">
        <v>3</v>
      </c>
      <c r="C12" s="1">
        <v>4</v>
      </c>
      <c r="D12" s="1"/>
      <c r="E12" s="1">
        <v>2</v>
      </c>
      <c r="F12" s="1"/>
      <c r="G12" s="1"/>
      <c r="H12" s="1">
        <v>2</v>
      </c>
      <c r="I12" s="1"/>
      <c r="J12" s="1"/>
      <c r="K12" s="1"/>
      <c r="L12" s="16">
        <f>SUM(COUNT(B12:K12)*$B$1,SUM(B13:K13))</f>
        <v>4300</v>
      </c>
    </row>
    <row r="13" spans="1:14" x14ac:dyDescent="0.25">
      <c r="A13" s="2" t="s">
        <v>13</v>
      </c>
      <c r="B13" s="3">
        <f>IF(B12&lt;=2,"",INDEX(Sheet2!$B$2:$B$7,Sheet1!B12))</f>
        <v>100</v>
      </c>
      <c r="C13" s="3">
        <f>IF(C12&lt;=2,"",INDEX(Sheet2!$B$2:$B$7,Sheet1!C12))</f>
        <v>200</v>
      </c>
      <c r="D13" s="3" t="str">
        <f>IF(D12&lt;=2,"",INDEX(Sheet2!$B$2:$B$7,Sheet1!D12))</f>
        <v/>
      </c>
      <c r="E13" s="3" t="str">
        <f>IF(E12&lt;=2,"",INDEX(Sheet2!$B$2:$B$7,Sheet1!E12))</f>
        <v/>
      </c>
      <c r="F13" s="3" t="str">
        <f>IF(F12&lt;=2,"",INDEX(Sheet2!$B$2:$B$7,Sheet1!F12))</f>
        <v/>
      </c>
      <c r="G13" s="3" t="str">
        <f>IF(G12&lt;=2,"",INDEX(Sheet2!$B$2:$B$7,Sheet1!G12))</f>
        <v/>
      </c>
      <c r="H13" s="3" t="str">
        <f>IF(H12&lt;=2,"",INDEX(Sheet2!$B$2:$B$7,Sheet1!H12))</f>
        <v/>
      </c>
      <c r="I13" s="3" t="str">
        <f>IF(I12&lt;=2,"",INDEX(Sheet2!$B$2:$B$7,Sheet1!I12))</f>
        <v/>
      </c>
      <c r="J13" s="3" t="str">
        <f>IF(J12&lt;=2,"",INDEX(Sheet2!$B$2:$B$7,Sheet1!J12))</f>
        <v/>
      </c>
      <c r="K13" s="3" t="str">
        <f>IF(K12&lt;=2,"",INDEX(Sheet2!$B$2:$B$7,Sheet1!K12))</f>
        <v/>
      </c>
      <c r="L13" s="17"/>
    </row>
    <row r="14" spans="1:14" x14ac:dyDescent="0.25">
      <c r="A14" s="4"/>
      <c r="B14" s="1"/>
      <c r="C14" s="1"/>
      <c r="D14" s="1"/>
      <c r="E14" s="1"/>
      <c r="F14" s="1"/>
      <c r="G14" s="1"/>
      <c r="H14" s="1"/>
      <c r="I14" s="1"/>
      <c r="J14" s="1"/>
      <c r="K14" s="1"/>
      <c r="L14" s="16">
        <f>SUM(COUNT(B14:K14)*$B$1,SUM(B15:K15))</f>
        <v>0</v>
      </c>
    </row>
    <row r="15" spans="1:14" x14ac:dyDescent="0.25">
      <c r="A15" s="2" t="s">
        <v>13</v>
      </c>
      <c r="B15" s="3" t="str">
        <f>IF(B14&lt;=2,"",INDEX(Sheet2!$B$2:$B$7,Sheet1!B14))</f>
        <v/>
      </c>
      <c r="C15" s="3" t="str">
        <f>IF(C14&lt;=2,"",INDEX(Sheet2!$B$2:$B$7,Sheet1!C14))</f>
        <v/>
      </c>
      <c r="D15" s="3" t="str">
        <f>IF(D14&lt;=2,"",INDEX(Sheet2!$B$2:$B$7,Sheet1!D14))</f>
        <v/>
      </c>
      <c r="E15" s="3" t="str">
        <f>IF(E14&lt;=2,"",INDEX(Sheet2!$B$2:$B$7,Sheet1!E14))</f>
        <v/>
      </c>
      <c r="F15" s="3" t="str">
        <f>IF(F14&lt;=2,"",INDEX(Sheet2!$B$2:$B$7,Sheet1!F14))</f>
        <v/>
      </c>
      <c r="G15" s="3" t="str">
        <f>IF(G14&lt;=2,"",INDEX(Sheet2!$B$2:$B$7,Sheet1!G14))</f>
        <v/>
      </c>
      <c r="H15" s="3" t="str">
        <f>IF(H14&lt;=2,"",INDEX(Sheet2!$B$2:$B$7,Sheet1!H14))</f>
        <v/>
      </c>
      <c r="I15" s="3" t="str">
        <f>IF(I14&lt;=2,"",INDEX(Sheet2!$B$2:$B$7,Sheet1!I14))</f>
        <v/>
      </c>
      <c r="J15" s="3" t="str">
        <f>IF(J14&lt;=2,"",INDEX(Sheet2!$B$2:$B$7,Sheet1!J14))</f>
        <v/>
      </c>
      <c r="K15" s="3" t="str">
        <f>IF(K14&lt;=2,"",INDEX(Sheet2!$B$2:$B$7,Sheet1!K14))</f>
        <v/>
      </c>
      <c r="L15" s="17"/>
    </row>
    <row r="40" spans="1:12" ht="15.75" thickBot="1" x14ac:dyDescent="0.3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</row>
    <row r="41" spans="1:12" ht="15.75" thickTop="1" x14ac:dyDescent="0.25"/>
  </sheetData>
  <mergeCells count="5">
    <mergeCell ref="D1:F2"/>
    <mergeCell ref="L14:L15"/>
    <mergeCell ref="L10:L11"/>
    <mergeCell ref="L8:L9"/>
    <mergeCell ref="L12:L13"/>
  </mergeCells>
  <conditionalFormatting sqref="B8:K8">
    <cfRule type="cellIs" dxfId="19" priority="36" operator="between">
      <formula>1</formula>
      <formula>6</formula>
    </cfRule>
  </conditionalFormatting>
  <conditionalFormatting sqref="B9:K9">
    <cfRule type="cellIs" dxfId="18" priority="35" operator="between">
      <formula>100</formula>
      <formula>400</formula>
    </cfRule>
  </conditionalFormatting>
  <conditionalFormatting sqref="L8:L9">
    <cfRule type="cellIs" dxfId="17" priority="34" operator="greaterThan">
      <formula>0</formula>
    </cfRule>
  </conditionalFormatting>
  <conditionalFormatting sqref="A8">
    <cfRule type="notContainsBlanks" dxfId="16" priority="33">
      <formula>LEN(TRIM(A8))&gt;0</formula>
    </cfRule>
  </conditionalFormatting>
  <conditionalFormatting sqref="B10:K10">
    <cfRule type="cellIs" dxfId="15" priority="32" operator="between">
      <formula>1</formula>
      <formula>6</formula>
    </cfRule>
  </conditionalFormatting>
  <conditionalFormatting sqref="B11:K11">
    <cfRule type="cellIs" dxfId="14" priority="31" operator="between">
      <formula>100</formula>
      <formula>400</formula>
    </cfRule>
  </conditionalFormatting>
  <conditionalFormatting sqref="L10:L11">
    <cfRule type="cellIs" dxfId="13" priority="30" operator="greaterThan">
      <formula>0</formula>
    </cfRule>
  </conditionalFormatting>
  <conditionalFormatting sqref="A10">
    <cfRule type="notContainsBlanks" dxfId="12" priority="29">
      <formula>LEN(TRIM(A10))&gt;0</formula>
    </cfRule>
  </conditionalFormatting>
  <conditionalFormatting sqref="B12:K12">
    <cfRule type="cellIs" dxfId="11" priority="12" operator="between">
      <formula>1</formula>
      <formula>6</formula>
    </cfRule>
  </conditionalFormatting>
  <conditionalFormatting sqref="B13:K13">
    <cfRule type="cellIs" dxfId="10" priority="11" operator="between">
      <formula>100</formula>
      <formula>400</formula>
    </cfRule>
  </conditionalFormatting>
  <conditionalFormatting sqref="L12:L13">
    <cfRule type="cellIs" dxfId="9" priority="10" operator="greaterThan">
      <formula>0</formula>
    </cfRule>
  </conditionalFormatting>
  <conditionalFormatting sqref="A12">
    <cfRule type="notContainsBlanks" dxfId="8" priority="9">
      <formula>LEN(TRIM(A12))&gt;0</formula>
    </cfRule>
  </conditionalFormatting>
  <conditionalFormatting sqref="B14:K14">
    <cfRule type="cellIs" dxfId="3" priority="4" operator="between">
      <formula>1</formula>
      <formula>6</formula>
    </cfRule>
  </conditionalFormatting>
  <conditionalFormatting sqref="B15:K15">
    <cfRule type="cellIs" dxfId="2" priority="3" operator="between">
      <formula>100</formula>
      <formula>400</formula>
    </cfRule>
  </conditionalFormatting>
  <conditionalFormatting sqref="L14:L15">
    <cfRule type="cellIs" dxfId="1" priority="2" operator="greaterThan">
      <formula>0</formula>
    </cfRule>
  </conditionalFormatting>
  <conditionalFormatting sqref="A14">
    <cfRule type="notContainsBlanks" dxfId="0" priority="1">
      <formula>LEN(TRIM(A14))&gt;0</formula>
    </cfRule>
  </conditionalFormatting>
  <dataValidations count="6">
    <dataValidation type="textLength" operator="equal" allowBlank="1" showInputMessage="1" showErrorMessage="1" error="No data entry allowed in this cell" sqref="L1:L2 I2 D1:F2 B9:K9 L8:L15 B11:K11 B13:K13 B15:K15" xr:uid="{90134FCF-08BC-4C5E-B016-82B2D1BCFD2E}">
      <formula1>0</formula1>
    </dataValidation>
    <dataValidation type="list" allowBlank="1" showInputMessage="1" showErrorMessage="1" sqref="B8:K8 B10:K10 B12:K12" xr:uid="{11294A49-E61A-4EAB-A8CD-941F5A36E0EA}">
      <formula1>"1,2,3,4,5,6"</formula1>
    </dataValidation>
    <dataValidation type="date" allowBlank="1" showInputMessage="1" showErrorMessage="1" sqref="A8 A10 A12" xr:uid="{1F478995-563B-4C59-BA8A-D94BE08231B7}">
      <formula1>44774</formula1>
      <formula2>44804</formula2>
    </dataValidation>
    <dataValidation type="textLength" operator="equal" allowBlank="1" showInputMessage="1" showErrorMessage="1" error="Can't chenge the content of this cell" sqref="A7:L7" xr:uid="{DA728D4C-7FCB-4EB8-9D00-B80E824EA24F}">
      <formula1>0</formula1>
    </dataValidation>
    <dataValidation type="list" allowBlank="1" showInputMessage="1" showErrorMessage="1" error="Only values from 1 to 6 are allowed" sqref="B14:K14" xr:uid="{6C85CD3B-E14B-4927-92C0-0ADDD140A393}">
      <formula1>"1,2,3,4,5,6"</formula1>
    </dataValidation>
    <dataValidation type="date" allowBlank="1" showInputMessage="1" showErrorMessage="1" error="Only dates in August 2022 are allowed" sqref="A14" xr:uid="{4F1C29D9-FAE0-46D4-A1D5-800D50B38816}">
      <formula1>44774</formula1>
      <formula2>44804</formula2>
    </dataValidation>
  </dataValidations>
  <pageMargins left="0.7" right="0.7" top="0.75" bottom="0.75" header="0.3" footer="0.3"/>
  <ignoredErrors>
    <ignoredError sqref="L8:L12" formulaRange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7AB00-BC9F-4D2D-81B3-669B4CF7EC32}">
  <sheetPr codeName="Sheet2"/>
  <dimension ref="A1:B7"/>
  <sheetViews>
    <sheetView workbookViewId="0">
      <selection activeCell="B8" sqref="B8"/>
    </sheetView>
  </sheetViews>
  <sheetFormatPr defaultRowHeight="15" x14ac:dyDescent="0.25"/>
  <sheetData>
    <row r="1" spans="1:2" x14ac:dyDescent="0.25">
      <c r="A1" t="s">
        <v>12</v>
      </c>
      <c r="B1" t="s">
        <v>13</v>
      </c>
    </row>
    <row r="2" spans="1:2" x14ac:dyDescent="0.25">
      <c r="A2">
        <v>1</v>
      </c>
      <c r="B2">
        <v>0</v>
      </c>
    </row>
    <row r="3" spans="1:2" x14ac:dyDescent="0.25">
      <c r="A3">
        <v>2</v>
      </c>
      <c r="B3">
        <v>0</v>
      </c>
    </row>
    <row r="4" spans="1:2" x14ac:dyDescent="0.25">
      <c r="A4">
        <v>3</v>
      </c>
      <c r="B4">
        <v>100</v>
      </c>
    </row>
    <row r="5" spans="1:2" x14ac:dyDescent="0.25">
      <c r="A5">
        <v>4</v>
      </c>
      <c r="B5">
        <v>200</v>
      </c>
    </row>
    <row r="6" spans="1:2" x14ac:dyDescent="0.25">
      <c r="A6">
        <v>5</v>
      </c>
      <c r="B6">
        <v>300</v>
      </c>
    </row>
    <row r="7" spans="1:2" x14ac:dyDescent="0.25">
      <c r="A7">
        <v>6</v>
      </c>
      <c r="B7">
        <v>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81B5B-A715-4F54-B0CA-D828C34700AB}">
  <sheetPr codeName="Sheet3"/>
  <dimension ref="A1:L2"/>
  <sheetViews>
    <sheetView workbookViewId="0">
      <selection activeCell="B1" sqref="B1:K1"/>
    </sheetView>
  </sheetViews>
  <sheetFormatPr defaultRowHeight="15" x14ac:dyDescent="0.25"/>
  <cols>
    <col min="1" max="1" width="16.42578125" bestFit="1" customWidth="1"/>
  </cols>
  <sheetData>
    <row r="1" spans="1:12" x14ac:dyDescent="0.25">
      <c r="A1" s="4"/>
      <c r="B1" s="1"/>
      <c r="C1" s="1"/>
      <c r="D1" s="1"/>
      <c r="E1" s="1"/>
      <c r="F1" s="1"/>
      <c r="G1" s="1"/>
      <c r="H1" s="1"/>
      <c r="I1" s="1"/>
      <c r="J1" s="1"/>
      <c r="K1" s="1"/>
      <c r="L1" s="16">
        <f>SUM(COUNT(B1:K1)*$B$1,SUM(B2:K2))</f>
        <v>0</v>
      </c>
    </row>
    <row r="2" spans="1:12" x14ac:dyDescent="0.25">
      <c r="A2" s="2" t="s">
        <v>13</v>
      </c>
      <c r="B2" s="3" t="str">
        <f>IF(B1&lt;=2,"",INDEX(Sheet2!$B$2:$B$7,Sheet1!B1))</f>
        <v/>
      </c>
      <c r="C2" s="3" t="str">
        <f>IF(C1&lt;=2,"",INDEX(Sheet2!$B$2:$B$7,Sheet1!C1))</f>
        <v/>
      </c>
      <c r="D2" s="3" t="str">
        <f>IF(D1&lt;=2,"",INDEX(Sheet2!$B$2:$B$7,Sheet1!D1))</f>
        <v/>
      </c>
      <c r="E2" s="3" t="str">
        <f>IF(E1&lt;=2,"",INDEX(Sheet2!$B$2:$B$7,Sheet1!E1))</f>
        <v/>
      </c>
      <c r="F2" s="3" t="str">
        <f>IF(F1&lt;=2,"",INDEX(Sheet2!$B$2:$B$7,Sheet1!F1))</f>
        <v/>
      </c>
      <c r="G2" s="3" t="str">
        <f>IF(G1&lt;=2,"",INDEX(Sheet2!$B$2:$B$7,Sheet1!G1))</f>
        <v/>
      </c>
      <c r="H2" s="3" t="str">
        <f>IF(H1&lt;=2,"",INDEX(Sheet2!$B$2:$B$7,Sheet1!H1))</f>
        <v/>
      </c>
      <c r="I2" s="3" t="str">
        <f>IF(I1&lt;=2,"",INDEX(Sheet2!$B$2:$B$7,Sheet1!I1))</f>
        <v/>
      </c>
      <c r="J2" s="3" t="str">
        <f>IF(J1&lt;=2,"",INDEX(Sheet2!$B$2:$B$7,Sheet1!J1))</f>
        <v/>
      </c>
      <c r="K2" s="3" t="str">
        <f>IF(K1&lt;=2,"",INDEX(Sheet2!$B$2:$B$7,Sheet1!K1))</f>
        <v/>
      </c>
      <c r="L2" s="17"/>
    </row>
  </sheetData>
  <mergeCells count="1">
    <mergeCell ref="L1:L2"/>
  </mergeCells>
  <conditionalFormatting sqref="B1:K1">
    <cfRule type="cellIs" dxfId="7" priority="4" operator="between">
      <formula>1</formula>
      <formula>6</formula>
    </cfRule>
  </conditionalFormatting>
  <conditionalFormatting sqref="B2:K2">
    <cfRule type="cellIs" dxfId="6" priority="3" operator="between">
      <formula>100</formula>
      <formula>400</formula>
    </cfRule>
  </conditionalFormatting>
  <conditionalFormatting sqref="L1:L2">
    <cfRule type="cellIs" dxfId="5" priority="2" operator="greaterThan">
      <formula>0</formula>
    </cfRule>
  </conditionalFormatting>
  <conditionalFormatting sqref="A1">
    <cfRule type="notContainsBlanks" dxfId="4" priority="1">
      <formula>LEN(TRIM(A1))&gt;0</formula>
    </cfRule>
  </conditionalFormatting>
  <dataValidations count="3">
    <dataValidation type="date" allowBlank="1" showInputMessage="1" showErrorMessage="1" error="Only dates in August 2022 are allowed" sqref="A1" xr:uid="{8E8C21D0-CDD2-44BF-81C0-C1C5868F8F68}">
      <formula1>44774</formula1>
      <formula2>44804</formula2>
    </dataValidation>
    <dataValidation type="list" allowBlank="1" showInputMessage="1" showErrorMessage="1" error="Only values from 1 to 6 are allowed" sqref="B1:K1" xr:uid="{EFE5D0A3-432A-4C9B-9997-C006C62985E8}">
      <formula1>"1,2,3,4,5,6"</formula1>
    </dataValidation>
    <dataValidation type="textLength" operator="equal" allowBlank="1" showInputMessage="1" showErrorMessage="1" error="No data entry allowed in this cell" sqref="B2:K2 L1:L2" xr:uid="{C2E0E30D-A98C-4040-9EA6-E608F949DD0D}">
      <formula1>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NewDay</vt:lpstr>
      <vt:lpstr>DayPay</vt:lpstr>
      <vt:lpstr>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Administartor</dc:creator>
  <cp:lastModifiedBy>Administartor</cp:lastModifiedBy>
  <dcterms:created xsi:type="dcterms:W3CDTF">2022-08-15T09:12:53Z</dcterms:created>
  <dcterms:modified xsi:type="dcterms:W3CDTF">2022-08-17T04:18:17Z</dcterms:modified>
</cp:coreProperties>
</file>